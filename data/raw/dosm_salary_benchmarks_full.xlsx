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y Age Group" sheetId="1" state="visible" r:id="rId3"/>
    <sheet name="By State" sheetId="2" state="visible" r:id="rId4"/>
    <sheet name="Salary Comparis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<sst xmlns="http://schemas.openxmlformats.org/spreadsheetml/2006/main" count="85" uniqueCount="62">
  <si>
    <t xml:space="preserve">MEDIAN MONTHLY WAGES – FORMAL SECTOR | BY AGE GROUP | 2025 (Q1–Q4)</t>
  </si>
  <si>
    <t xml:space="preserve">Source: DOSM Employee Wages Statistics (Formal Sector) Q1–Q4 2025  |  open.dosm.gov.my/dashboard/formal-sector-wages</t>
  </si>
  <si>
    <t xml:space="preserve">Age Group</t>
  </si>
  <si>
    <t xml:space="preserve">Q1 2025 (Jan–Mar)</t>
  </si>
  <si>
    <t xml:space="preserve">Q2 2025 (Apr–Jun)</t>
  </si>
  <si>
    <t xml:space="preserve">Q3 2025 (Jul–Sep)</t>
  </si>
  <si>
    <t xml:space="preserve">Q4 2025 (Oct–Dec)</t>
  </si>
  <si>
    <t xml:space="preserve">Dec-25 Benchmark</t>
  </si>
  <si>
    <t xml:space="preserve">Jan-25</t>
  </si>
  <si>
    <t xml:space="preserve">Feb-25</t>
  </si>
  <si>
    <t xml:space="preserve">Mar-25</t>
  </si>
  <si>
    <t xml:space="preserve">Apr-25</t>
  </si>
  <si>
    <t xml:space="preserve">May-25</t>
  </si>
  <si>
    <t xml:space="preserve">Jun-25</t>
  </si>
  <si>
    <t xml:space="preserve">Jul-25</t>
  </si>
  <si>
    <t xml:space="preserve">Aug-25</t>
  </si>
  <si>
    <t xml:space="preserve">Sep-25</t>
  </si>
  <si>
    <t xml:space="preserve">Oct-25</t>
  </si>
  <si>
    <t xml:space="preserve">Nov-25</t>
  </si>
  <si>
    <t xml:space="preserve">Dec-25</t>
  </si>
  <si>
    <t xml:space="preserve">(Dec-25, RM)</t>
  </si>
  <si>
    <t xml:space="preserve">&lt;20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</si>
  <si>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</si>
  <si>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</si>
  <si>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</si>
  <si>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</si>
  <si>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</si>
  <si>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</si>
  <si>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</si>
  <si>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</si>
  <si>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</si>
  <si>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&gt;64</t>
  </si>
  <si>
    <t xml:space="preserve">MEDIAN MONTHLY WAGES – FORMAL SECTOR | BY STATE | 2025 (Q1–Q4)</t>
  </si>
  <si>
    <t xml:space="preserve">⚠ State medians cover ALL age groups combined. For age-specific benchmarks, use 'By Age Group' sheet.</t>
  </si>
  <si>
    <t xml:space="preserve">State / Territory</t>
  </si>
  <si>
    <t xml:space="preserve">W.P. Kuala Lumpur</t>
  </si>
  <si>
    <t xml:space="preserve">Selangor</t>
  </si>
  <si>
    <t xml:space="preserve">Pulau Pinang</t>
  </si>
  <si>
    <t xml:space="preserve">W.P. Putrajaya</t>
  </si>
  <si>
    <t xml:space="preserve">Johor</t>
  </si>
  <si>
    <t xml:space="preserve">Melaka</t>
  </si>
  <si>
    <t xml:space="preserve">Negeri Sembilan</t>
  </si>
  <si>
    <t xml:space="preserve">Pahang</t>
  </si>
  <si>
    <t xml:space="preserve">Perak</t>
  </si>
  <si>
    <t xml:space="preserve">Terengganu</t>
  </si>
  <si>
    <t xml:space="preserve">Sarawak</t>
  </si>
  <si>
    <t xml:space="preserve">W.P. Labuan</t>
  </si>
  <si>
    <t xml:space="preserve">Sabah</t>
  </si>
  <si>
    <t xml:space="preserve">Kedah</t>
  </si>
  <si>
    <t xml:space="preserve">Kelantan</t>
  </si>
  <si>
    <t xml:space="preserve">Perlis</t>
  </si>
  <si>
    <t xml:space="preserve">SALARY COMPARISON TOOL</t>
  </si>
  <si>
    <t xml:space="preserve">User Monthly Salary (RM)</t>
  </si>
  <si>
    <t xml:space="preserve">User Age Group</t>
  </si>
  <si>
    <t xml:space="preserve">User State</t>
  </si>
  <si>
    <t xml:space="preserve">── RESULTS ──</t>
  </si>
  <si>
    <t xml:space="preserve">Age Group Median (Dec-25, RM)</t>
  </si>
  <si>
    <t xml:space="preserve">State Median (Dec-25, RM)</t>
  </si>
  <si>
    <t xml:space="preserve">Difference vs Age Group (RM)</t>
  </si>
  <si>
    <t xml:space="preserve">% vs Age Group Median</t>
  </si>
  <si>
    <t xml:space="preserve">Verdict</t>
  </si>
  <si>
    <t xml:space="preserve">Tip: Use 'Age Group Median' as primary benchmark — it compares you against peers your age, not all workers.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</si>
</sst>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A93226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1A3A70"/>
      <name val="Arial"/>
      <family val="0"/>
      <charset val="1"/>
    </font>
    <font>
      <sz val="9"/>
      <color rgb="FFA93226"/>
      <name val="Arial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8B0000"/>
        <bgColor rgb="FF7B241C"/>
      </patternFill>
    </fill>
    <fill>
      <patternFill patternType="solid">
        <fgColor rgb="FFC0392B"/>
        <bgColor rgb="FFA93226"/>
      </patternFill>
    </fill>
    <fill>
      <patternFill patternType="solid">
        <fgColor rgb="FF1A3A70"/>
        <bgColor rgb="FF333399"/>
      </patternFill>
    </fill>
    <fill>
      <patternFill patternType="solid">
        <fgColor rgb="FF3A5BA0"/>
        <bgColor rgb="FF333399"/>
      </patternFill>
    </fill>
    <fill>
      <patternFill patternType="solid">
        <fgColor rgb="FF1E8449"/>
        <bgColor rgb="FF008080"/>
      </patternFill>
    </fill>
    <fill>
      <patternFill patternType="solid">
        <fgColor rgb="FFD35400"/>
        <bgColor rgb="FFC0392B"/>
      </patternFill>
    </fill>
    <fill>
      <patternFill patternType="solid">
        <fgColor rgb="FF7B241C"/>
        <bgColor rgb="FFA93226"/>
      </patternFill>
    </fill>
    <fill>
      <patternFill patternType="solid">
        <fgColor rgb="FFD6DCF5"/>
        <bgColor rgb="FFCCCCCC"/>
      </patternFill>
    </fill>
    <fill>
      <patternFill patternType="solid">
        <fgColor rgb="FF8FA8D9"/>
        <bgColor rgb="FF969696"/>
      </patternFill>
    </fill>
    <fill>
      <patternFill patternType="solid">
        <fgColor rgb="FFD5F5E3"/>
        <bgColor rgb="FFEBF0FF"/>
      </patternFill>
    </fill>
    <fill>
      <patternFill patternType="solid">
        <fgColor rgb="FF76D7A3"/>
        <bgColor rgb="FF33CCCC"/>
      </patternFill>
    </fill>
    <fill>
      <patternFill patternType="solid">
        <fgColor rgb="FFFEF9E7"/>
        <bgColor rgb="FFFFFFFF"/>
      </patternFill>
    </fill>
    <fill>
      <patternFill patternType="solid">
        <fgColor rgb="FFF8C471"/>
        <bgColor rgb="FFFFCC00"/>
      </patternFill>
    </fill>
    <fill>
      <patternFill patternType="solid">
        <fgColor rgb="FFF9EBEA"/>
        <bgColor rgb="FFF2F4FB"/>
      </patternFill>
    </fill>
    <fill>
      <patternFill patternType="solid">
        <fgColor rgb="FFCD6155"/>
        <bgColor rgb="FFD35400"/>
      </patternFill>
    </fill>
    <fill>
      <patternFill patternType="solid">
        <fgColor rgb="FFF2F4FB"/>
        <bgColor rgb="FFEBF0FF"/>
      </patternFill>
    </fill>
    <fill>
      <patternFill patternType="solid">
        <fgColor rgb="FFFFFFFF"/>
        <bgColor rgb="FFFEF9E7"/>
      </patternFill>
    </fill>
    <fill>
      <patternFill patternType="solid">
        <fgColor rgb="FFFFF3CD"/>
        <bgColor rgb="FFFFF9C4"/>
      </patternFill>
    </fill>
    <fill>
      <patternFill patternType="solid">
        <fgColor rgb="FFEBF0FF"/>
        <bgColor rgb="FFF2F4FB"/>
      </patternFill>
    </fill>
    <fill>
      <patternFill patternType="solid">
        <fgColor rgb="FFFFF9C4"/>
        <bgColor rgb="FFFFF3C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EF9E7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CCCCCC"/>
      <rgbColor rgb="FF808080"/>
      <rgbColor rgb="FF8FA8D9"/>
      <rgbColor rgb="FFC0392B"/>
      <rgbColor rgb="FFFFF9C4"/>
      <rgbColor rgb="FFEBF0FF"/>
      <rgbColor rgb="FF660066"/>
      <rgbColor rgb="FFCD6155"/>
      <rgbColor rgb="FF0066CC"/>
      <rgbColor rgb="FFD6DCF5"/>
      <rgbColor rgb="FF000080"/>
      <rgbColor rgb="FFFF00FF"/>
      <rgbColor rgb="FFFFFF00"/>
      <rgbColor rgb="FF00FFFF"/>
      <rgbColor rgb="FF800080"/>
      <rgbColor rgb="FF7B241C"/>
      <rgbColor rgb="FF008080"/>
      <rgbColor rgb="FF0000FF"/>
      <rgbColor rgb="FF00CCFF"/>
      <rgbColor rgb="FFF2F4FB"/>
      <rgbColor rgb="FFD5F5E3"/>
      <rgbColor rgb="FFFFF3CD"/>
      <rgbColor rgb="FF76D7A3"/>
      <rgbColor rgb="FFF9EBEA"/>
      <rgbColor rgb="FFCC99FF"/>
      <rgbColor rgb="FFF8C471"/>
      <rgbColor rgb="FF3366FF"/>
      <rgbColor rgb="FF33CCCC"/>
      <rgbColor rgb="FF99CC00"/>
      <rgbColor rgb="FFFFCC00"/>
      <rgbColor rgb="FFFF9900"/>
      <rgbColor rgb="FFD35400"/>
      <rgbColor rgb="FF3A5BA0"/>
      <rgbColor rgb="FF969696"/>
      <rgbColor rgb="FF1A3A70"/>
      <rgbColor rgb="FF1E8449"/>
      <rgbColor rgb="FF003300"/>
      <rgbColor rgb="FF333300"/>
      <rgbColor rgb="FFA93226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3" min="2" style="0" width="10"/>
    <col collapsed="false" customWidth="true" hidden="false" outlineLevel="0" max="14" min="14" style="0" width="18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3" t="s">
        <v>2</v>
      </c>
      <c r="B3" s="4" t="s">
        <v>3</v>
      </c>
      <c r="C3" s="4"/>
      <c r="D3" s="4"/>
      <c r="E3" s="5" t="s">
        <v>4</v>
      </c>
      <c r="F3" s="5"/>
      <c r="G3" s="5"/>
      <c r="H3" s="6" t="s">
        <v>5</v>
      </c>
      <c r="I3" s="6"/>
      <c r="J3" s="6"/>
      <c r="K3" s="7" t="s">
        <v>6</v>
      </c>
      <c r="L3" s="7"/>
      <c r="M3" s="7"/>
      <c r="N3" s="3" t="s">
        <v>7</v>
      </c>
    </row>
    <row r="4" customFormat="false" ht="15" hidden="false" customHeight="false" outlineLevel="0" collapsed="false">
      <c r="A4" s="3" t="s">
        <v>2</v>
      </c>
      <c r="B4" s="8" t="s">
        <v>8</v>
      </c>
      <c r="C4" s="9" t="s">
        <v>9</v>
      </c>
      <c r="D4" s="10" t="s">
        <v>10</v>
      </c>
      <c r="E4" s="11" t="s">
        <v>11</v>
      </c>
      <c r="F4" s="12" t="s">
        <v>12</v>
      </c>
      <c r="G4" s="13" t="s">
        <v>13</v>
      </c>
      <c r="H4" s="14" t="s">
        <v>14</v>
      </c>
      <c r="I4" s="15" t="s">
        <v>15</v>
      </c>
      <c r="J4" s="16" t="s">
        <v>16</v>
      </c>
      <c r="K4" s="17" t="s">
        <v>17</v>
      </c>
      <c r="L4" s="18" t="s">
        <v>18</v>
      </c>
      <c r="M4" s="19" t="s">
        <v>19</v>
      </c>
      <c r="N4" s="20" t="s">
        <v>20</v>
      </c>
    </row>
    <row r="5" customFormat="false" ht="15" hidden="false" customHeight="false" outlineLevel="0" collapsed="false">
      <c r="A5" s="21" t="s">
        <v>21</v>
      </c>
      <c r="B5" s="22" t="n">
        <v>1527</v>
      </c>
      <c r="C5" s="22" t="n">
        <v>1700</v>
      </c>
      <c r="D5" s="22" t="n">
        <v>1700</v>
      </c>
      <c r="E5" s="22" t="n">
        <v>1700</v>
      </c>
      <c r="F5" s="22" t="n">
        <v>1700</v>
      </c>
      <c r="G5" s="22" t="n">
        <v>1700</v>
      </c>
      <c r="H5" s="22" t="n">
        <v>1700</v>
      </c>
      <c r="I5" s="22" t="n">
        <v>1700</v>
      </c>
      <c r="J5" s="22" t="n">
        <v>1700</v>
      </c>
      <c r="K5" s="22" t="n">
        <v>1700</v>
      </c>
      <c r="L5" s="22" t="n">
        <v>1700</v>
      </c>
      <c r="M5" s="22" t="n">
        <v>1700</v>
      </c>
      <c r="N5" s="23" t="n">
        <f aca="false">M5</f>
        <v>1700</v>
      </c>
    </row>
    <row r="6" customFormat="false" ht="15" hidden="false" customHeight="false" outlineLevel="0" collapsed="false">
      <c r="A6" s="24" t="s">
        <v>22</v>
      </c>
      <c r="B6" s="25" t="n">
        <v>1827</v>
      </c>
      <c r="C6" s="25" t="n">
        <v>1845</v>
      </c>
      <c r="D6" s="25" t="n">
        <v>1900</v>
      </c>
      <c r="E6" s="25" t="n">
        <v>1864</v>
      </c>
      <c r="F6" s="25" t="n">
        <v>1882</v>
      </c>
      <c r="G6" s="25" t="n">
        <v>1891</v>
      </c>
      <c r="H6" s="25" t="n">
        <v>1900</v>
      </c>
      <c r="I6" s="25" t="n">
        <v>1900</v>
      </c>
      <c r="J6" s="25" t="n">
        <v>1900</v>
      </c>
      <c r="K6" s="25" t="n">
        <v>1909</v>
      </c>
      <c r="L6" s="25" t="n">
        <v>1927</v>
      </c>
      <c r="M6" s="25" t="n">
        <v>2000</v>
      </c>
      <c r="N6" s="23" t="n">
        <f aca="false">M6</f>
        <v>2000</v>
      </c>
    </row>
    <row r="7" customFormat="false" ht="15" hidden="false" customHeight="false" outlineLevel="0" collapsed="false">
      <c r="A7" s="21" t="s">
        <v>23</v>
      </c>
      <c r="B7" s="22" t="n">
        <v>2645</v>
      </c>
      <c r="C7" s="22" t="n">
        <v>2500</v>
      </c>
      <c r="D7" s="22" t="n">
        <v>2600</v>
      </c>
      <c r="E7" s="22" t="n">
        <v>2500</v>
      </c>
      <c r="F7" s="22" t="n">
        <v>2500</v>
      </c>
      <c r="G7" s="22" t="n">
        <v>2527</v>
      </c>
      <c r="H7" s="22" t="n">
        <v>2545</v>
      </c>
      <c r="I7" s="22" t="n">
        <v>2545</v>
      </c>
      <c r="J7" s="22" t="n">
        <v>2564</v>
      </c>
      <c r="K7" s="22" t="n">
        <v>2582</v>
      </c>
      <c r="L7" s="22" t="n">
        <v>2582</v>
      </c>
      <c r="M7" s="22" t="n">
        <v>2800</v>
      </c>
      <c r="N7" s="23" t="n">
        <f aca="false">M7</f>
        <v>2800</v>
      </c>
    </row>
    <row r="8" customFormat="false" ht="15" hidden="false" customHeight="false" outlineLevel="0" collapsed="false">
      <c r="A8" s="24" t="s">
        <v>24</v>
      </c>
      <c r="B8" s="25" t="n">
        <v>3245</v>
      </c>
      <c r="C8" s="25" t="n">
        <v>3000</v>
      </c>
      <c r="D8" s="25" t="n">
        <v>3200</v>
      </c>
      <c r="E8" s="25" t="n">
        <v>3045</v>
      </c>
      <c r="F8" s="25" t="n">
        <v>3000</v>
      </c>
      <c r="G8" s="25" t="n">
        <v>3045</v>
      </c>
      <c r="H8" s="25" t="n">
        <v>3045</v>
      </c>
      <c r="I8" s="25" t="n">
        <v>3045</v>
      </c>
      <c r="J8" s="25" t="n">
        <v>3045</v>
      </c>
      <c r="K8" s="25" t="n">
        <v>3064</v>
      </c>
      <c r="L8" s="25" t="n">
        <v>3064</v>
      </c>
      <c r="M8" s="25" t="n">
        <v>3382</v>
      </c>
      <c r="N8" s="23" t="n">
        <f aca="false">M8</f>
        <v>3382</v>
      </c>
    </row>
    <row r="9" customFormat="false" ht="15" hidden="false" customHeight="false" outlineLevel="0" collapsed="false">
      <c r="A9" s="21" t="s">
        <v>25</v>
      </c>
      <c r="B9" s="22" t="n">
        <v>3745</v>
      </c>
      <c r="C9" s="22" t="n">
        <v>3482</v>
      </c>
      <c r="D9" s="22" t="n">
        <v>3700</v>
      </c>
      <c r="E9" s="22" t="n">
        <v>3500</v>
      </c>
      <c r="F9" s="22" t="n">
        <v>3482</v>
      </c>
      <c r="G9" s="22" t="n">
        <v>3500</v>
      </c>
      <c r="H9" s="22" t="n">
        <v>3500</v>
      </c>
      <c r="I9" s="22" t="n">
        <v>3500</v>
      </c>
      <c r="J9" s="22" t="n">
        <v>3500</v>
      </c>
      <c r="K9" s="22" t="n">
        <v>3500</v>
      </c>
      <c r="L9" s="22" t="n">
        <v>3827</v>
      </c>
      <c r="M9" s="22" t="n">
        <v>3700</v>
      </c>
      <c r="N9" s="23" t="n">
        <f aca="false">M9</f>
        <v>3700</v>
      </c>
    </row>
    <row r="10" customFormat="false" ht="15" hidden="false" customHeight="false" outlineLevel="0" collapsed="false">
      <c r="A10" s="24" t="s">
        <v>26</v>
      </c>
      <c r="B10" s="25" t="n">
        <v>4027</v>
      </c>
      <c r="C10" s="25" t="n">
        <v>3664</v>
      </c>
      <c r="D10" s="25" t="n">
        <v>3964</v>
      </c>
      <c r="E10" s="25" t="n">
        <v>3727</v>
      </c>
      <c r="F10" s="25" t="n">
        <v>3664</v>
      </c>
      <c r="G10" s="25" t="n">
        <v>3700</v>
      </c>
      <c r="H10" s="25" t="n">
        <v>3700</v>
      </c>
      <c r="I10" s="25" t="n">
        <v>3682</v>
      </c>
      <c r="J10" s="25" t="n">
        <v>3700</v>
      </c>
      <c r="K10" s="25" t="n">
        <v>3700</v>
      </c>
      <c r="L10" s="25" t="n">
        <v>3700</v>
      </c>
      <c r="M10" s="25" t="n">
        <v>4064</v>
      </c>
      <c r="N10" s="23" t="n">
        <f aca="false">M10</f>
        <v>4064</v>
      </c>
    </row>
    <row r="11" customFormat="false" ht="15" hidden="false" customHeight="false" outlineLevel="0" collapsed="false">
      <c r="A11" s="21" t="s">
        <v>27</v>
      </c>
      <c r="B11" s="22" t="n">
        <v>4264</v>
      </c>
      <c r="C11" s="22" t="n">
        <v>3800</v>
      </c>
      <c r="D11" s="22" t="n">
        <v>4000</v>
      </c>
      <c r="E11" s="22" t="n">
        <v>3845</v>
      </c>
      <c r="F11" s="22" t="n">
        <v>3800</v>
      </c>
      <c r="G11" s="22" t="n">
        <v>3800</v>
      </c>
      <c r="H11" s="22" t="n">
        <v>3800</v>
      </c>
      <c r="I11" s="22" t="n">
        <v>3800</v>
      </c>
      <c r="J11" s="22" t="n">
        <v>3800</v>
      </c>
      <c r="K11" s="22" t="n">
        <v>3827</v>
      </c>
      <c r="L11" s="22" t="n">
        <v>4245</v>
      </c>
      <c r="M11" s="22" t="n">
        <v>4245</v>
      </c>
      <c r="N11" s="23" t="n">
        <f aca="false">M11</f>
        <v>4245</v>
      </c>
    </row>
    <row r="12" customFormat="false" ht="15" hidden="false" customHeight="false" outlineLevel="0" collapsed="false">
      <c r="A12" s="24" t="s">
        <v>28</v>
      </c>
      <c r="B12" s="25" t="n">
        <v>4100</v>
      </c>
      <c r="C12" s="25" t="n">
        <v>3627</v>
      </c>
      <c r="D12" s="25" t="n">
        <v>3845</v>
      </c>
      <c r="E12" s="25" t="n">
        <v>3664</v>
      </c>
      <c r="F12" s="25" t="n">
        <v>3645</v>
      </c>
      <c r="G12" s="25" t="n">
        <v>3664</v>
      </c>
      <c r="H12" s="25" t="n">
        <v>3664</v>
      </c>
      <c r="I12" s="25" t="n">
        <v>3645</v>
      </c>
      <c r="J12" s="25" t="n">
        <v>3645</v>
      </c>
      <c r="K12" s="25" t="n">
        <v>3664</v>
      </c>
      <c r="L12" s="25" t="n">
        <v>3682</v>
      </c>
      <c r="M12" s="25" t="n">
        <v>4000</v>
      </c>
      <c r="N12" s="23" t="n">
        <f aca="false">M12</f>
        <v>4000</v>
      </c>
    </row>
    <row r="13" customFormat="false" ht="15" hidden="false" customHeight="false" outlineLevel="0" collapsed="false">
      <c r="A13" s="21" t="s">
        <v>29</v>
      </c>
      <c r="B13" s="22" t="n">
        <v>3822</v>
      </c>
      <c r="C13" s="22" t="n">
        <v>3400</v>
      </c>
      <c r="D13" s="22" t="n">
        <v>3500</v>
      </c>
      <c r="E13" s="22" t="n">
        <v>3400</v>
      </c>
      <c r="F13" s="22" t="n">
        <v>3400</v>
      </c>
      <c r="G13" s="22" t="n">
        <v>3400</v>
      </c>
      <c r="H13" s="22" t="n">
        <v>3400</v>
      </c>
      <c r="I13" s="22" t="n">
        <v>3400</v>
      </c>
      <c r="J13" s="22" t="n">
        <v>3400</v>
      </c>
      <c r="K13" s="22" t="n">
        <v>3400</v>
      </c>
      <c r="L13" s="22" t="n">
        <v>3400</v>
      </c>
      <c r="M13" s="22" t="n">
        <v>3682</v>
      </c>
      <c r="N13" s="23" t="n">
        <f aca="false">M13</f>
        <v>3682</v>
      </c>
    </row>
    <row r="14" customFormat="false" ht="15" hidden="false" customHeight="false" outlineLevel="0" collapsed="false">
      <c r="A14" s="24" t="s">
        <v>30</v>
      </c>
      <c r="B14" s="25" t="n">
        <v>3364</v>
      </c>
      <c r="C14" s="25" t="n">
        <v>3000</v>
      </c>
      <c r="D14" s="25" t="n">
        <v>3000</v>
      </c>
      <c r="E14" s="25" t="n">
        <v>3000</v>
      </c>
      <c r="F14" s="25" t="n">
        <v>3000</v>
      </c>
      <c r="G14" s="25" t="n">
        <v>3000</v>
      </c>
      <c r="H14" s="25" t="n">
        <v>3000</v>
      </c>
      <c r="I14" s="25" t="n">
        <v>3000</v>
      </c>
      <c r="J14" s="25" t="n">
        <v>3000</v>
      </c>
      <c r="K14" s="25" t="n">
        <v>3000</v>
      </c>
      <c r="L14" s="25" t="n">
        <v>3000</v>
      </c>
      <c r="M14" s="25" t="n">
        <v>3120</v>
      </c>
      <c r="N14" s="23" t="n">
        <f aca="false">M14</f>
        <v>3120</v>
      </c>
    </row>
    <row r="15" customFormat="false" ht="15" hidden="false" customHeight="false" outlineLevel="0" collapsed="false">
      <c r="A15" s="21" t="s">
        <v>31</v>
      </c>
      <c r="B15" s="22" t="n">
        <v>3200</v>
      </c>
      <c r="C15" s="22" t="n">
        <v>2855</v>
      </c>
      <c r="D15" s="22" t="n">
        <v>2900</v>
      </c>
      <c r="E15" s="22" t="n">
        <v>2875</v>
      </c>
      <c r="F15" s="22" t="n">
        <v>2900</v>
      </c>
      <c r="G15" s="22" t="n">
        <v>2900</v>
      </c>
      <c r="H15" s="22" t="n">
        <v>2909</v>
      </c>
      <c r="I15" s="22" t="n">
        <v>2925</v>
      </c>
      <c r="J15" s="22" t="n">
        <v>2900</v>
      </c>
      <c r="K15" s="22" t="n">
        <v>2964</v>
      </c>
      <c r="L15" s="22" t="n">
        <v>2964</v>
      </c>
      <c r="M15" s="22" t="n">
        <v>3000</v>
      </c>
      <c r="N15" s="23" t="n">
        <f aca="false">M15</f>
        <v>3000</v>
      </c>
    </row>
  </sheetData>
  <mergeCells count="6">
    <mergeCell ref="A1:N1"/>
    <mergeCell ref="A2:N2"/>
    <mergeCell ref="B3:D3"/>
    <mergeCell ref="E3:G3"/>
    <mergeCell ref="H3:J3"/>
    <mergeCell ref="K3:M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3" min="2" style="0" width="10"/>
    <col collapsed="false" customWidth="true" hidden="false" outlineLevel="0" max="14" min="14" style="0" width="18"/>
  </cols>
  <sheetData>
    <row r="1" customFormat="false" ht="25.5" hidden="false" customHeight="true" outlineLevel="0" collapsed="false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30" hidden="false" customHeight="true" outlineLevel="0" collapsed="false">
      <c r="A3" s="26" t="s">
        <v>33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4" customFormat="false" ht="15" hidden="false" customHeight="false" outlineLevel="0" collapsed="false">
      <c r="A4" s="3" t="s">
        <v>34</v>
      </c>
      <c r="B4" s="4" t="s">
        <v>3</v>
      </c>
      <c r="C4" s="4"/>
      <c r="D4" s="4"/>
      <c r="E4" s="5" t="s">
        <v>4</v>
      </c>
      <c r="F4" s="5"/>
      <c r="G4" s="5"/>
      <c r="H4" s="6" t="s">
        <v>5</v>
      </c>
      <c r="I4" s="6"/>
      <c r="J4" s="6"/>
      <c r="K4" s="7" t="s">
        <v>6</v>
      </c>
      <c r="L4" s="7"/>
      <c r="M4" s="7"/>
      <c r="N4" s="3" t="s">
        <v>7</v>
      </c>
    </row>
    <row r="5" customFormat="false" ht="15" hidden="false" customHeight="false" outlineLevel="0" collapsed="false">
      <c r="A5" s="3" t="s">
        <v>34</v>
      </c>
      <c r="B5" s="8" t="s">
        <v>8</v>
      </c>
      <c r="C5" s="9" t="s">
        <v>9</v>
      </c>
      <c r="D5" s="10" t="s">
        <v>10</v>
      </c>
      <c r="E5" s="11" t="s">
        <v>11</v>
      </c>
      <c r="F5" s="12" t="s">
        <v>12</v>
      </c>
      <c r="G5" s="13" t="s">
        <v>13</v>
      </c>
      <c r="H5" s="14" t="s">
        <v>14</v>
      </c>
      <c r="I5" s="15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20" t="s">
        <v>20</v>
      </c>
    </row>
    <row r="6" customFormat="false" ht="15" hidden="false" customHeight="false" outlineLevel="0" collapsed="false">
      <c r="A6" s="27" t="s">
        <v>35</v>
      </c>
      <c r="B6" s="22" t="n">
        <v>4400</v>
      </c>
      <c r="C6" s="22" t="n">
        <v>4145</v>
      </c>
      <c r="D6" s="22" t="n">
        <v>4445</v>
      </c>
      <c r="E6" s="22" t="n">
        <v>4200</v>
      </c>
      <c r="F6" s="22" t="n">
        <v>4064</v>
      </c>
      <c r="G6" s="22" t="n">
        <v>4064</v>
      </c>
      <c r="H6" s="22" t="n">
        <v>4100</v>
      </c>
      <c r="I6" s="22" t="n">
        <v>4064</v>
      </c>
      <c r="J6" s="22" t="n">
        <v>4064</v>
      </c>
      <c r="K6" s="22" t="n">
        <v>4082</v>
      </c>
      <c r="L6" s="22" t="n">
        <v>4100</v>
      </c>
      <c r="M6" s="22" t="n">
        <v>4391</v>
      </c>
      <c r="N6" s="23" t="n">
        <f aca="false">M6</f>
        <v>4391</v>
      </c>
    </row>
    <row r="7" customFormat="false" ht="15" hidden="false" customHeight="false" outlineLevel="0" collapsed="false">
      <c r="A7" s="28" t="s">
        <v>36</v>
      </c>
      <c r="B7" s="25" t="n">
        <v>3445</v>
      </c>
      <c r="C7" s="25" t="n">
        <v>3145</v>
      </c>
      <c r="D7" s="25" t="n">
        <v>3300</v>
      </c>
      <c r="E7" s="25" t="n">
        <v>3178</v>
      </c>
      <c r="F7" s="25" t="n">
        <v>3100</v>
      </c>
      <c r="G7" s="25" t="n">
        <v>3145</v>
      </c>
      <c r="H7" s="25" t="n">
        <v>3127</v>
      </c>
      <c r="I7" s="25" t="n">
        <v>3100</v>
      </c>
      <c r="J7" s="25" t="n">
        <v>3127</v>
      </c>
      <c r="K7" s="25" t="n">
        <v>3145</v>
      </c>
      <c r="L7" s="25" t="n">
        <v>3145</v>
      </c>
      <c r="M7" s="25" t="n">
        <v>3400</v>
      </c>
      <c r="N7" s="23" t="n">
        <f aca="false">M7</f>
        <v>3400</v>
      </c>
    </row>
    <row r="8" customFormat="false" ht="15" hidden="false" customHeight="false" outlineLevel="0" collapsed="false">
      <c r="A8" s="27" t="s">
        <v>37</v>
      </c>
      <c r="B8" s="22" t="n">
        <v>3300</v>
      </c>
      <c r="C8" s="22" t="n">
        <v>2909</v>
      </c>
      <c r="D8" s="22" t="n">
        <v>3000</v>
      </c>
      <c r="E8" s="22" t="n">
        <v>2945</v>
      </c>
      <c r="F8" s="22" t="n">
        <v>2900</v>
      </c>
      <c r="G8" s="22" t="n">
        <v>2927</v>
      </c>
      <c r="H8" s="22" t="n">
        <v>2900</v>
      </c>
      <c r="I8" s="22" t="n">
        <v>2927</v>
      </c>
      <c r="J8" s="22" t="n">
        <v>2927</v>
      </c>
      <c r="K8" s="22" t="n">
        <v>2945</v>
      </c>
      <c r="L8" s="22" t="n">
        <v>3000</v>
      </c>
      <c r="M8" s="22" t="n">
        <v>3500</v>
      </c>
      <c r="N8" s="23" t="n">
        <f aca="false">M8</f>
        <v>3500</v>
      </c>
    </row>
    <row r="9" customFormat="false" ht="15" hidden="false" customHeight="false" outlineLevel="0" collapsed="false">
      <c r="A9" s="29" t="s">
        <v>38</v>
      </c>
      <c r="B9" s="25" t="n">
        <v>2600</v>
      </c>
      <c r="C9" s="25" t="n">
        <v>2600</v>
      </c>
      <c r="D9" s="25" t="n">
        <v>2900</v>
      </c>
      <c r="E9" s="25" t="n">
        <v>2564</v>
      </c>
      <c r="F9" s="25" t="n">
        <v>2545</v>
      </c>
      <c r="G9" s="25" t="n">
        <v>2564</v>
      </c>
      <c r="H9" s="25" t="n">
        <v>2564</v>
      </c>
      <c r="I9" s="25" t="n">
        <v>2564</v>
      </c>
      <c r="J9" s="25" t="n">
        <v>2564</v>
      </c>
      <c r="K9" s="25" t="n">
        <v>2600</v>
      </c>
      <c r="L9" s="25" t="n">
        <v>2582</v>
      </c>
      <c r="M9" s="25" t="n">
        <v>2582</v>
      </c>
      <c r="N9" s="23" t="n">
        <f aca="false">M9</f>
        <v>2582</v>
      </c>
    </row>
    <row r="10" customFormat="false" ht="15" hidden="false" customHeight="false" outlineLevel="0" collapsed="false">
      <c r="A10" s="27" t="s">
        <v>39</v>
      </c>
      <c r="B10" s="22" t="n">
        <v>2927</v>
      </c>
      <c r="C10" s="22" t="n">
        <v>2600</v>
      </c>
      <c r="D10" s="22" t="n">
        <v>2745</v>
      </c>
      <c r="E10" s="22" t="n">
        <v>2600</v>
      </c>
      <c r="F10" s="22" t="n">
        <v>2600</v>
      </c>
      <c r="G10" s="22" t="n">
        <v>2600</v>
      </c>
      <c r="H10" s="22" t="n">
        <v>2600</v>
      </c>
      <c r="I10" s="22" t="n">
        <v>2600</v>
      </c>
      <c r="J10" s="22" t="n">
        <v>2600</v>
      </c>
      <c r="K10" s="22" t="n">
        <v>2600</v>
      </c>
      <c r="L10" s="22" t="n">
        <v>2600</v>
      </c>
      <c r="M10" s="22" t="n">
        <v>2982</v>
      </c>
      <c r="N10" s="23" t="n">
        <f aca="false">M10</f>
        <v>2982</v>
      </c>
    </row>
    <row r="11" customFormat="false" ht="15" hidden="false" customHeight="false" outlineLevel="0" collapsed="false">
      <c r="A11" s="29" t="s">
        <v>40</v>
      </c>
      <c r="B11" s="25" t="n">
        <v>2700</v>
      </c>
      <c r="C11" s="25" t="n">
        <v>2500</v>
      </c>
      <c r="D11" s="25" t="n">
        <v>2600</v>
      </c>
      <c r="E11" s="25" t="n">
        <v>2500</v>
      </c>
      <c r="F11" s="25" t="n">
        <v>2500</v>
      </c>
      <c r="G11" s="25" t="n">
        <v>2545</v>
      </c>
      <c r="H11" s="25" t="n">
        <v>2500</v>
      </c>
      <c r="I11" s="25" t="n">
        <v>2500</v>
      </c>
      <c r="J11" s="25" t="n">
        <v>2500</v>
      </c>
      <c r="K11" s="25" t="n">
        <v>2600</v>
      </c>
      <c r="L11" s="25" t="n">
        <v>2564</v>
      </c>
      <c r="M11" s="25" t="n">
        <v>2864</v>
      </c>
      <c r="N11" s="23" t="n">
        <f aca="false">M11</f>
        <v>2864</v>
      </c>
    </row>
    <row r="12" customFormat="false" ht="15" hidden="false" customHeight="false" outlineLevel="0" collapsed="false">
      <c r="A12" s="30" t="s">
        <v>41</v>
      </c>
      <c r="B12" s="22" t="n">
        <v>2600</v>
      </c>
      <c r="C12" s="22" t="n">
        <v>2482</v>
      </c>
      <c r="D12" s="22" t="n">
        <v>2600</v>
      </c>
      <c r="E12" s="22" t="n">
        <v>2464</v>
      </c>
      <c r="F12" s="22" t="n">
        <v>2464</v>
      </c>
      <c r="G12" s="22" t="n">
        <v>2500</v>
      </c>
      <c r="H12" s="22" t="n">
        <v>2500</v>
      </c>
      <c r="I12" s="22" t="n">
        <v>2500</v>
      </c>
      <c r="J12" s="22" t="n">
        <v>2482</v>
      </c>
      <c r="K12" s="22" t="n">
        <v>2500</v>
      </c>
      <c r="L12" s="22" t="n">
        <v>2482</v>
      </c>
      <c r="M12" s="22" t="n">
        <v>2664</v>
      </c>
      <c r="N12" s="23" t="n">
        <f aca="false">M12</f>
        <v>2664</v>
      </c>
    </row>
    <row r="13" customFormat="false" ht="15" hidden="false" customHeight="false" outlineLevel="0" collapsed="false">
      <c r="A13" s="29" t="s">
        <v>42</v>
      </c>
      <c r="B13" s="25" t="n">
        <v>2291</v>
      </c>
      <c r="C13" s="25" t="n">
        <v>2200</v>
      </c>
      <c r="D13" s="25" t="n">
        <v>2327</v>
      </c>
      <c r="E13" s="25" t="n">
        <v>2200</v>
      </c>
      <c r="F13" s="25" t="n">
        <v>2227</v>
      </c>
      <c r="G13" s="25" t="n">
        <v>2245</v>
      </c>
      <c r="H13" s="25" t="n">
        <v>2227</v>
      </c>
      <c r="I13" s="25" t="n">
        <v>2200</v>
      </c>
      <c r="J13" s="25" t="n">
        <v>2227</v>
      </c>
      <c r="K13" s="25" t="n">
        <v>2227</v>
      </c>
      <c r="L13" s="25" t="n">
        <v>2200</v>
      </c>
      <c r="M13" s="25" t="n">
        <v>2300</v>
      </c>
      <c r="N13" s="23" t="n">
        <f aca="false">M13</f>
        <v>2300</v>
      </c>
    </row>
    <row r="14" customFormat="false" ht="15" hidden="false" customHeight="false" outlineLevel="0" collapsed="false">
      <c r="A14" s="30" t="s">
        <v>43</v>
      </c>
      <c r="B14" s="22" t="n">
        <v>2382</v>
      </c>
      <c r="C14" s="22" t="n">
        <v>2182</v>
      </c>
      <c r="D14" s="22" t="n">
        <v>2200</v>
      </c>
      <c r="E14" s="22" t="n">
        <v>2182</v>
      </c>
      <c r="F14" s="22" t="n">
        <v>2182</v>
      </c>
      <c r="G14" s="22" t="n">
        <v>2175</v>
      </c>
      <c r="H14" s="22" t="n">
        <v>2200</v>
      </c>
      <c r="I14" s="22" t="n">
        <v>2200</v>
      </c>
      <c r="J14" s="22" t="n">
        <v>2200</v>
      </c>
      <c r="K14" s="22" t="n">
        <v>2200</v>
      </c>
      <c r="L14" s="22" t="n">
        <v>2200</v>
      </c>
      <c r="M14" s="22" t="n">
        <v>2300</v>
      </c>
      <c r="N14" s="23" t="n">
        <f aca="false">M14</f>
        <v>2300</v>
      </c>
    </row>
    <row r="15" customFormat="false" ht="15" hidden="false" customHeight="false" outlineLevel="0" collapsed="false">
      <c r="A15" s="29" t="s">
        <v>44</v>
      </c>
      <c r="B15" s="25" t="n">
        <v>2000</v>
      </c>
      <c r="C15" s="25" t="n">
        <v>2064</v>
      </c>
      <c r="D15" s="25" t="n">
        <v>2200</v>
      </c>
      <c r="E15" s="25" t="n">
        <v>2100</v>
      </c>
      <c r="F15" s="25" t="n">
        <v>2100</v>
      </c>
      <c r="G15" s="25" t="n">
        <v>2100</v>
      </c>
      <c r="H15" s="25" t="n">
        <v>2100</v>
      </c>
      <c r="I15" s="25" t="n">
        <v>2100</v>
      </c>
      <c r="J15" s="25" t="n">
        <v>2100</v>
      </c>
      <c r="K15" s="25" t="n">
        <v>2082</v>
      </c>
      <c r="L15" s="25" t="n">
        <v>2082</v>
      </c>
      <c r="M15" s="25" t="n">
        <v>2200</v>
      </c>
      <c r="N15" s="23" t="n">
        <f aca="false">M15</f>
        <v>2200</v>
      </c>
    </row>
    <row r="16" customFormat="false" ht="15" hidden="false" customHeight="false" outlineLevel="0" collapsed="false">
      <c r="A16" s="30" t="s">
        <v>45</v>
      </c>
      <c r="B16" s="22" t="n">
        <v>2382</v>
      </c>
      <c r="C16" s="22" t="n">
        <v>2182</v>
      </c>
      <c r="D16" s="22" t="n">
        <v>2227</v>
      </c>
      <c r="E16" s="22" t="n">
        <v>2182</v>
      </c>
      <c r="F16" s="22" t="n">
        <v>2227</v>
      </c>
      <c r="G16" s="22" t="n">
        <v>2200</v>
      </c>
      <c r="H16" s="22" t="n">
        <v>2200</v>
      </c>
      <c r="I16" s="22" t="n">
        <v>2200</v>
      </c>
      <c r="J16" s="22" t="n">
        <v>2200</v>
      </c>
      <c r="K16" s="22" t="n">
        <v>2200</v>
      </c>
      <c r="L16" s="22" t="n">
        <v>2182</v>
      </c>
      <c r="M16" s="22" t="n">
        <v>2300</v>
      </c>
      <c r="N16" s="23" t="n">
        <f aca="false">M16</f>
        <v>2300</v>
      </c>
    </row>
    <row r="17" customFormat="false" ht="15" hidden="false" customHeight="false" outlineLevel="0" collapsed="false">
      <c r="A17" s="29" t="s">
        <v>46</v>
      </c>
      <c r="B17" s="25" t="n">
        <v>2164</v>
      </c>
      <c r="C17" s="25" t="n">
        <v>2082</v>
      </c>
      <c r="D17" s="25" t="n">
        <v>2100</v>
      </c>
      <c r="E17" s="25" t="n">
        <v>2064</v>
      </c>
      <c r="F17" s="25" t="n">
        <v>2100</v>
      </c>
      <c r="G17" s="25" t="n">
        <v>2100</v>
      </c>
      <c r="H17" s="25" t="n">
        <v>2100</v>
      </c>
      <c r="I17" s="25" t="n">
        <v>2082</v>
      </c>
      <c r="J17" s="25" t="n">
        <v>2082</v>
      </c>
      <c r="K17" s="25" t="n">
        <v>2100</v>
      </c>
      <c r="L17" s="25" t="n">
        <v>2100</v>
      </c>
      <c r="M17" s="25" t="n">
        <v>2382</v>
      </c>
      <c r="N17" s="23" t="n">
        <f aca="false">M17</f>
        <v>2382</v>
      </c>
    </row>
    <row r="18" customFormat="false" ht="15" hidden="false" customHeight="false" outlineLevel="0" collapsed="false">
      <c r="A18" s="30" t="s">
        <v>47</v>
      </c>
      <c r="B18" s="22" t="n">
        <v>2045</v>
      </c>
      <c r="C18" s="22" t="n">
        <v>2000</v>
      </c>
      <c r="D18" s="22" t="n">
        <v>2000</v>
      </c>
      <c r="E18" s="22" t="n">
        <v>2000</v>
      </c>
      <c r="F18" s="22" t="n">
        <v>2000</v>
      </c>
      <c r="G18" s="22" t="n">
        <v>2000</v>
      </c>
      <c r="H18" s="22" t="n">
        <v>2000</v>
      </c>
      <c r="I18" s="22" t="n">
        <v>2000</v>
      </c>
      <c r="J18" s="22" t="n">
        <v>2000</v>
      </c>
      <c r="K18" s="22" t="n">
        <v>2000</v>
      </c>
      <c r="L18" s="22" t="n">
        <v>2000</v>
      </c>
      <c r="M18" s="22" t="n">
        <v>2045</v>
      </c>
      <c r="N18" s="23" t="n">
        <f aca="false">M18</f>
        <v>2045</v>
      </c>
    </row>
    <row r="19" customFormat="false" ht="15" hidden="false" customHeight="false" outlineLevel="0" collapsed="false">
      <c r="A19" s="29" t="s">
        <v>48</v>
      </c>
      <c r="B19" s="25" t="n">
        <v>2064</v>
      </c>
      <c r="C19" s="25" t="n">
        <v>2000</v>
      </c>
      <c r="D19" s="25" t="n">
        <v>2100</v>
      </c>
      <c r="E19" s="25" t="n">
        <v>2000</v>
      </c>
      <c r="F19" s="25" t="n">
        <v>2000</v>
      </c>
      <c r="G19" s="25" t="n">
        <v>2000</v>
      </c>
      <c r="H19" s="25" t="n">
        <v>2027</v>
      </c>
      <c r="I19" s="25" t="n">
        <v>2000</v>
      </c>
      <c r="J19" s="25" t="n">
        <v>2000</v>
      </c>
      <c r="K19" s="25" t="n">
        <v>2000</v>
      </c>
      <c r="L19" s="25" t="n">
        <v>2000</v>
      </c>
      <c r="M19" s="25" t="n">
        <v>2164</v>
      </c>
      <c r="N19" s="23" t="n">
        <f aca="false">M19</f>
        <v>2164</v>
      </c>
    </row>
    <row r="20" customFormat="false" ht="15" hidden="false" customHeight="false" outlineLevel="0" collapsed="false">
      <c r="A20" s="30" t="s">
        <v>49</v>
      </c>
      <c r="B20" s="22" t="n">
        <v>1700</v>
      </c>
      <c r="C20" s="22" t="n">
        <v>1727</v>
      </c>
      <c r="D20" s="22" t="n">
        <v>1800</v>
      </c>
      <c r="E20" s="22" t="n">
        <v>1745</v>
      </c>
      <c r="F20" s="22" t="n">
        <v>1782</v>
      </c>
      <c r="G20" s="22" t="n">
        <v>1764</v>
      </c>
      <c r="H20" s="22" t="n">
        <v>1764</v>
      </c>
      <c r="I20" s="22" t="n">
        <v>1764</v>
      </c>
      <c r="J20" s="22" t="n">
        <v>1800</v>
      </c>
      <c r="K20" s="22" t="n">
        <v>1782</v>
      </c>
      <c r="L20" s="22" t="n">
        <v>1764</v>
      </c>
      <c r="M20" s="22" t="n">
        <v>1800</v>
      </c>
      <c r="N20" s="23" t="n">
        <f aca="false">M20</f>
        <v>1800</v>
      </c>
    </row>
    <row r="21" customFormat="false" ht="15" hidden="false" customHeight="false" outlineLevel="0" collapsed="false">
      <c r="A21" s="29" t="s">
        <v>50</v>
      </c>
      <c r="B21" s="25" t="n">
        <v>1800</v>
      </c>
      <c r="C21" s="25" t="n">
        <v>1800</v>
      </c>
      <c r="D21" s="25" t="n">
        <v>1800</v>
      </c>
      <c r="E21" s="25" t="n">
        <v>1782</v>
      </c>
      <c r="F21" s="25" t="n">
        <v>1800</v>
      </c>
      <c r="G21" s="25" t="n">
        <v>1800</v>
      </c>
      <c r="H21" s="25" t="n">
        <v>1800</v>
      </c>
      <c r="I21" s="25" t="n">
        <v>1800</v>
      </c>
      <c r="J21" s="25" t="n">
        <v>1800</v>
      </c>
      <c r="K21" s="25" t="n">
        <v>1800</v>
      </c>
      <c r="L21" s="25" t="n">
        <v>1800</v>
      </c>
      <c r="M21" s="25" t="n">
        <v>1864</v>
      </c>
      <c r="N21" s="23" t="n">
        <f aca="false">M21</f>
        <v>1864</v>
      </c>
    </row>
  </sheetData>
  <mergeCells count="7">
    <mergeCell ref="A1:N1"/>
    <mergeCell ref="A2:N2"/>
    <mergeCell ref="A3:N3"/>
    <mergeCell ref="B4:D4"/>
    <mergeCell ref="E4:G4"/>
    <mergeCell ref="H4:J4"/>
    <mergeCell ref="K4:M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4"/>
    <col collapsed="false" customWidth="true" hidden="false" outlineLevel="0" max="3" min="3" style="0" width="10"/>
  </cols>
  <sheetData>
    <row r="1" customFormat="false" ht="27.75" hidden="false" customHeight="true" outlineLevel="0" collapsed="false">
      <c r="A1" s="31" t="s">
        <v>51</v>
      </c>
      <c r="B1" s="31"/>
      <c r="C1" s="31"/>
    </row>
    <row r="3" customFormat="false" ht="15" hidden="false" customHeight="false" outlineLevel="0" collapsed="false">
      <c r="A3" s="32" t="s">
        <v>52</v>
      </c>
      <c r="B3" s="33" t="n">
        <v>3200</v>
      </c>
    </row>
    <row r="4" customFormat="false" ht="15" hidden="false" customHeight="false" outlineLevel="0" collapsed="false">
      <c r="A4" s="32" t="s">
        <v>53</v>
      </c>
      <c r="B4" s="34" t="s">
        <v>23</v>
      </c>
    </row>
    <row r="5" customFormat="false" ht="15" hidden="false" customHeight="false" outlineLevel="0" collapsed="false">
      <c r="A5" s="32" t="s">
        <v>54</v>
      </c>
      <c r="B5" s="34" t="s">
        <v>36</v>
      </c>
    </row>
    <row r="7" customFormat="false" ht="15" hidden="false" customHeight="false" outlineLevel="0" collapsed="false">
      <c r="A7" s="35" t="s">
        <v>55</v>
      </c>
      <c r="B7" s="35"/>
      <c r="C7" s="35"/>
    </row>
    <row r="8" customFormat="false" ht="15" hidden="false" customHeight="false" outlineLevel="0" collapsed="false">
      <c r="A8" s="30" t="s">
        <v>56</v>
      </c>
      <c r="B8" s="36" t="n">
        <f aca="false">IFERROR(VLOOKUP(B4,'By Age Group'!A:N,14,0),"Not found")</f>
        <v>2800</v>
      </c>
    </row>
    <row r="9" customFormat="false" ht="15" hidden="false" customHeight="false" outlineLevel="0" collapsed="false">
      <c r="A9" s="30" t="s">
        <v>57</v>
      </c>
      <c r="B9" s="36" t="n">
        <f aca="false">IFERROR(VLOOKUP(B5,'By State'!A:N,14,0),"Not found")</f>
        <v>3400</v>
      </c>
    </row>
    <row r="10" customFormat="false" ht="15" hidden="false" customHeight="false" outlineLevel="0" collapsed="false">
      <c r="A10" s="30" t="s">
        <v>58</v>
      </c>
      <c r="B10" s="36" t="n">
        <f aca="false">IFERROR(B3-B8,"-")</f>
        <v>400</v>
      </c>
    </row>
    <row r="11" customFormat="false" ht="15" hidden="false" customHeight="false" outlineLevel="0" collapsed="false">
      <c r="A11" s="30" t="s">
        <v>59</v>
      </c>
      <c r="B11" s="37" t="n">
        <f aca="false">IFERROR((B3-B8)/B8,"-")</f>
        <v>0.142857142857143</v>
      </c>
    </row>
    <row r="12" customFormat="false" ht="15" hidden="false" customHeight="false" outlineLevel="0" collapsed="false">
      <c r="A12" s="30" t="s">
        <v>60</v>
      </c>
      <c r="B12" s="38" t="str">
        <f aca="false">IFERROR(IF(B3&gt;=B8,"✅ At or above age group median","⚠ Below age group median"),"-")</f>
        <v>✅ At or above age group median</v>
      </c>
    </row>
    <row r="14" customFormat="false" ht="30" hidden="false" customHeight="true" outlineLevel="0" collapsed="false">
      <c r="A14" s="39" t="s">
        <v>61</v>
      </c>
      <c r="B14" s="39"/>
      <c r="C14" s="39"/>
    </row>
  </sheetData>
  <mergeCells count="3">
    <mergeCell ref="A1:C1"/>
    <mergeCell ref="A7:C7"/>
    <mergeCell ref="A14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2026-06-11T00:50:04Z</dcterms:created>
  <dc:creator>openpyxl</dc:creator>
  <dc:description/>
  <dc:language>en-US</dc:language>
  <cp:lastModifiedBy/>
  <dcterms:modified xsi:type="dcterms:W3CDTF">2026-06-11T00:50:04Z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